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OneDrive\Desktop\EGR 304\Project_Schematic_Design\"/>
    </mc:Choice>
  </mc:AlternateContent>
  <xr:revisionPtr revIDLastSave="0" documentId="8_{2177D080-D469-4843-8DC3-37A8B468F4F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wer Budget" sheetId="1" r:id="rId1"/>
  </sheets>
  <definedNames>
    <definedName name="_xlnm.Print_Area" localSheetId="0">'Power Budget'!$A$1:$H$55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G43" i="1"/>
  <c r="G42" i="1"/>
  <c r="G35" i="1"/>
  <c r="G30" i="1"/>
  <c r="G29" i="1"/>
  <c r="G28" i="1"/>
  <c r="G24" i="1"/>
  <c r="G19" i="1"/>
  <c r="G18" i="1"/>
  <c r="G17" i="1"/>
  <c r="G13" i="1"/>
  <c r="G12" i="1"/>
  <c r="G11" i="1"/>
  <c r="G10" i="1"/>
  <c r="G9" i="1"/>
  <c r="G20" i="1" l="1"/>
  <c r="G22" i="1" s="1"/>
  <c r="G25" i="1" s="1"/>
  <c r="G44" i="1"/>
  <c r="G31" i="1"/>
  <c r="G33" i="1" s="1"/>
  <c r="G3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<sst xmlns="http://schemas.openxmlformats.org/spreadsheetml/2006/main" count="114" uniqueCount="55">
  <si>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</si>
  <si>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</si>
  <si>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</si>
  <si>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</si>
  <si>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</si>
  <si>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</si>
  <si>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</si>
  <si>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</si>
  <si>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</si>
  <si>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</si>
  <si>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</si>
  <si>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</si>
  <si>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 xml:space="preserve"> +12 - 24V</t>
  </si>
  <si>
    <t>mA</t>
  </si>
  <si>
    <t>Opamp</t>
  </si>
  <si>
    <t xml:space="preserve"> +5 to -5</t>
  </si>
  <si>
    <t>5V regulator</t>
  </si>
  <si>
    <t xml:space="preserve"> +5V - 35V</t>
  </si>
  <si>
    <t xml:space="preserve"> +12V Power Rail</t>
  </si>
  <si>
    <t xml:space="preserve">Subtotal </t>
  </si>
  <si>
    <t>Safety Margin</t>
  </si>
  <si>
    <t>Total Current Required on +12V Rail</t>
  </si>
  <si>
    <t>Total Remaining Current Available on +12V Rail</t>
  </si>
  <si>
    <t xml:space="preserve"> +5V Power Rail</t>
  </si>
  <si>
    <t>Total Current Required on +5V Rail</t>
  </si>
  <si>
    <t xml:space="preserve"> +5V Regulator</t>
  </si>
  <si>
    <t>LM7805</t>
  </si>
  <si>
    <t>Total Remaining Current Available on +5V Rail</t>
  </si>
  <si>
    <t>External Power Source 1</t>
  </si>
  <si>
    <t>Output Voltage</t>
  </si>
  <si>
    <t>Power Source 1 Selection</t>
  </si>
  <si>
    <t>Plug-in Wall Supply</t>
  </si>
  <si>
    <t>110VAC</t>
  </si>
  <si>
    <t>Power Rails Connected to External Power Source 1</t>
  </si>
  <si>
    <t>Total Remaining Current Available on External Power Source 1</t>
  </si>
  <si>
    <t>Supply Voltage Range</t>
  </si>
  <si>
    <t>Qty.</t>
  </si>
  <si>
    <t>Regulator</t>
  </si>
  <si>
    <t>Total Current
(mA)</t>
  </si>
  <si>
    <t>Absolute Maximum Current (mA)</t>
  </si>
  <si>
    <t>Temperature Equalizing Blinds</t>
  </si>
  <si>
    <t>Keith, Abriana, Don, Tim</t>
  </si>
  <si>
    <t>Curiosity Nano</t>
  </si>
  <si>
    <t>PIC18F57Q43</t>
  </si>
  <si>
    <t>1.8-5.1V</t>
  </si>
  <si>
    <t>MF52A2103J3470</t>
  </si>
  <si>
    <t>Thermistor .5-50kOhm</t>
  </si>
  <si>
    <t>Wall Power</t>
  </si>
  <si>
    <t>9V - 12V</t>
  </si>
  <si>
    <t>Thermistor</t>
  </si>
  <si>
    <t>MCP6004-I/P</t>
  </si>
  <si>
    <t>5V - 35V</t>
  </si>
  <si>
    <t>B09ZTKTLGW</t>
  </si>
  <si>
    <t>9V</t>
  </si>
  <si>
    <t>Power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</si>
</sst>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16" xfId="0" applyFont="1" applyBorder="1"/>
    <xf numFmtId="0" fontId="2" fillId="0" borderId="18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/>
    <xf numFmtId="0" fontId="2" fillId="0" borderId="20" xfId="0" applyFont="1" applyBorder="1" applyAlignment="1">
      <alignment horizontal="center"/>
    </xf>
    <xf numFmtId="9" fontId="2" fillId="0" borderId="20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5" fillId="0" borderId="20" xfId="0" applyFont="1" applyBorder="1" applyAlignment="1">
      <alignment horizontal="left" wrapText="1"/>
    </xf>
    <xf numFmtId="0" fontId="2" fillId="0" borderId="20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9" xfId="0" applyFont="1" applyFill="1" applyBorder="1" applyAlignment="1">
      <alignment vertical="center"/>
    </xf>
    <xf numFmtId="0" fontId="5" fillId="3" borderId="21" xfId="0" applyFont="1" applyFill="1" applyBorder="1" applyAlignment="1">
      <alignment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/>
    </xf>
    <xf numFmtId="0" fontId="2" fillId="0" borderId="2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2" fillId="0" borderId="20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5" fillId="0" borderId="8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3" fillId="0" borderId="16" xfId="0" applyFont="1" applyBorder="1" applyAlignment="1">
      <alignment horizontal="left" vertical="center" wrapText="1"/>
    </xf>
    <xf numFmtId="0" fontId="4" fillId="0" borderId="16" xfId="0" applyFont="1" applyBorder="1"/>
    <xf numFmtId="0" fontId="4" fillId="0" borderId="26" xfId="0" applyFont="1" applyBorder="1"/>
    <xf numFmtId="49" fontId="5" fillId="0" borderId="28" xfId="0" applyNumberFormat="1" applyFont="1" applyBorder="1" applyAlignment="1">
      <alignment horizontal="right"/>
    </xf>
    <xf numFmtId="49" fontId="5" fillId="0" borderId="29" xfId="0" applyNumberFormat="1" applyFont="1" applyBorder="1" applyAlignment="1">
      <alignment horizontal="right"/>
    </xf>
    <xf numFmtId="49" fontId="5" fillId="0" borderId="30" xfId="0" applyNumberFormat="1" applyFont="1" applyBorder="1" applyAlignment="1">
      <alignment horizontal="right"/>
    </xf>
    <xf numFmtId="49" fontId="5" fillId="0" borderId="8" xfId="0" applyNumberFormat="1" applyFont="1" applyBorder="1" applyAlignment="1">
      <alignment horizontal="right"/>
    </xf>
    <xf numFmtId="0" fontId="4" fillId="0" borderId="8" xfId="0" applyFont="1" applyBorder="1"/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6" fillId="0" borderId="0" xfId="0" applyFon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72"/>
  <sheetViews>
    <sheetView tabSelected="1" zoomScale="68" workbookViewId="0">
      <selection activeCell="J4" sqref="J4"/>
    </sheetView>
  </sheetViews>
  <sheetFormatPr defaultColWidth="13.5" defaultRowHeight="15.75" customHeight="1" x14ac:dyDescent="0.35"/>
  <cols>
    <col min="1" max="1" width="22.5" style="1" customWidth="1"/>
    <col min="2" max="2" width="20.08203125" style="1" customWidth="1"/>
    <col min="3" max="3" width="15.75" style="1" customWidth="1"/>
    <col min="4" max="4" width="11.5" style="1" customWidth="1"/>
    <col min="5" max="5" width="7.25" style="1" customWidth="1"/>
    <col min="6" max="6" width="12.33203125" style="5" customWidth="1"/>
    <col min="7" max="7" width="11.33203125" style="5" customWidth="1"/>
    <col min="8" max="8" width="9" style="5" customWidth="1"/>
    <col min="9" max="16384" width="13.5" style="1"/>
  </cols>
  <sheetData>
    <row r="1" spans="1:8" ht="30" customHeight="1" x14ac:dyDescent="0.7">
      <c r="A1" s="79" t="s">
        <v>54</v>
      </c>
      <c r="B1" s="80"/>
      <c r="C1" s="80"/>
      <c r="D1" s="80"/>
      <c r="E1" s="80"/>
      <c r="F1" s="80"/>
      <c r="G1" s="80"/>
      <c r="H1" s="80"/>
    </row>
    <row r="2" spans="1:8" ht="15" customHeight="1" x14ac:dyDescent="0.35">
      <c r="A2" s="12" t="s">
        <v>0</v>
      </c>
      <c r="B2" s="13">
        <v>105</v>
      </c>
      <c r="D2" s="2"/>
      <c r="E2" s="2"/>
    </row>
    <row r="3" spans="1:8" ht="15" customHeight="1" x14ac:dyDescent="0.35">
      <c r="A3" s="12" t="s">
        <v>1</v>
      </c>
      <c r="B3" s="14" t="s">
        <v>40</v>
      </c>
      <c r="C3" s="3"/>
      <c r="D3" s="2"/>
      <c r="E3" s="2"/>
      <c r="F3" s="2"/>
      <c r="G3" s="2"/>
      <c r="H3" s="2"/>
    </row>
    <row r="4" spans="1:8" ht="15" customHeight="1" x14ac:dyDescent="0.35">
      <c r="A4" s="12" t="s">
        <v>2</v>
      </c>
      <c r="B4" s="14" t="s">
        <v>41</v>
      </c>
      <c r="C4" s="3"/>
      <c r="D4" s="2"/>
      <c r="E4" s="2"/>
      <c r="F4" s="2"/>
      <c r="G4" s="2"/>
      <c r="H4" s="2"/>
    </row>
    <row r="5" spans="1:8" ht="15" customHeight="1" x14ac:dyDescent="0.35">
      <c r="A5" s="12" t="s">
        <v>3</v>
      </c>
      <c r="B5" s="14">
        <v>1</v>
      </c>
      <c r="C5" s="3"/>
      <c r="D5" s="2"/>
      <c r="E5" s="2"/>
      <c r="F5" s="2"/>
      <c r="G5" s="2"/>
      <c r="H5" s="2"/>
    </row>
    <row r="6" spans="1:8" ht="15" customHeight="1" x14ac:dyDescent="0.3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35">
      <c r="A7" s="81" t="s">
        <v>4</v>
      </c>
      <c r="B7" s="82"/>
      <c r="C7" s="82"/>
      <c r="D7" s="82"/>
      <c r="E7" s="82"/>
      <c r="F7" s="82"/>
      <c r="G7" s="82"/>
      <c r="H7" s="83"/>
    </row>
    <row r="8" spans="1:8" ht="47" thickBot="1" x14ac:dyDescent="0.4">
      <c r="A8" s="20" t="s">
        <v>5</v>
      </c>
      <c r="B8" s="21" t="s">
        <v>6</v>
      </c>
      <c r="C8" s="21" t="s">
        <v>7</v>
      </c>
      <c r="D8" s="22" t="s">
        <v>35</v>
      </c>
      <c r="E8" s="21" t="s">
        <v>36</v>
      </c>
      <c r="F8" s="22" t="s">
        <v>39</v>
      </c>
      <c r="G8" s="22" t="s">
        <v>38</v>
      </c>
      <c r="H8" s="21" t="s">
        <v>11</v>
      </c>
    </row>
    <row r="9" spans="1:8" ht="15" customHeight="1" x14ac:dyDescent="0.35">
      <c r="A9" s="4"/>
      <c r="B9" s="27" t="s">
        <v>42</v>
      </c>
      <c r="C9" s="28" t="s">
        <v>43</v>
      </c>
      <c r="D9" s="29" t="s">
        <v>44</v>
      </c>
      <c r="E9" s="29">
        <v>1</v>
      </c>
      <c r="F9" s="29">
        <v>500</v>
      </c>
      <c r="G9" s="29">
        <f t="shared" ref="G9:G13" si="0">E9*F9</f>
        <v>500</v>
      </c>
      <c r="H9" s="34" t="s">
        <v>13</v>
      </c>
    </row>
    <row r="10" spans="1:8" ht="15" customHeight="1" x14ac:dyDescent="0.35">
      <c r="A10" s="4"/>
      <c r="B10" s="30" t="s">
        <v>46</v>
      </c>
      <c r="C10" s="15" t="s">
        <v>45</v>
      </c>
      <c r="D10" s="16" t="s">
        <v>12</v>
      </c>
      <c r="E10" s="16">
        <v>2</v>
      </c>
      <c r="F10" s="16">
        <v>10</v>
      </c>
      <c r="G10" s="16">
        <f t="shared" si="0"/>
        <v>20</v>
      </c>
      <c r="H10" s="35" t="s">
        <v>13</v>
      </c>
    </row>
    <row r="11" spans="1:8" ht="15" customHeight="1" x14ac:dyDescent="0.35">
      <c r="A11" s="4"/>
      <c r="B11" s="30"/>
      <c r="C11" s="15"/>
      <c r="D11" s="16"/>
      <c r="E11" s="16"/>
      <c r="F11" s="16"/>
      <c r="G11" s="16">
        <f t="shared" si="0"/>
        <v>0</v>
      </c>
      <c r="H11" s="35" t="s">
        <v>13</v>
      </c>
    </row>
    <row r="12" spans="1:8" ht="15" customHeight="1" x14ac:dyDescent="0.35">
      <c r="A12" s="4"/>
      <c r="B12" s="30" t="s">
        <v>14</v>
      </c>
      <c r="C12" s="15" t="s">
        <v>50</v>
      </c>
      <c r="D12" s="17" t="s">
        <v>15</v>
      </c>
      <c r="E12" s="16">
        <v>1</v>
      </c>
      <c r="F12" s="16">
        <v>100</v>
      </c>
      <c r="G12" s="16">
        <f t="shared" si="0"/>
        <v>100</v>
      </c>
      <c r="H12" s="35" t="s">
        <v>13</v>
      </c>
    </row>
    <row r="13" spans="1:8" ht="15" customHeight="1" x14ac:dyDescent="0.35">
      <c r="A13" s="4"/>
      <c r="B13" s="30" t="s">
        <v>16</v>
      </c>
      <c r="C13" s="84" t="s">
        <v>26</v>
      </c>
      <c r="D13" s="16" t="s">
        <v>17</v>
      </c>
      <c r="E13" s="16">
        <v>1</v>
      </c>
      <c r="F13" s="16">
        <v>1000</v>
      </c>
      <c r="G13" s="16">
        <f t="shared" si="0"/>
        <v>1000</v>
      </c>
      <c r="H13" s="35" t="s">
        <v>13</v>
      </c>
    </row>
    <row r="14" spans="1:8" ht="15" customHeight="1" thickBot="1" x14ac:dyDescent="0.4">
      <c r="A14" s="4"/>
      <c r="B14" s="31"/>
      <c r="C14" s="32"/>
      <c r="D14" s="33"/>
      <c r="E14" s="33"/>
      <c r="F14" s="33"/>
      <c r="G14" s="33"/>
      <c r="H14" s="36" t="s">
        <v>13</v>
      </c>
    </row>
    <row r="15" spans="1:8" ht="15" customHeight="1" x14ac:dyDescent="0.35">
      <c r="A15" s="6"/>
      <c r="B15" s="14"/>
      <c r="C15" s="14"/>
      <c r="D15" s="25"/>
      <c r="E15" s="25"/>
      <c r="F15" s="25"/>
      <c r="G15" s="26"/>
      <c r="H15" s="26"/>
    </row>
    <row r="16" spans="1:8" ht="47" thickBot="1" x14ac:dyDescent="0.4">
      <c r="A16" s="50" t="s">
        <v>18</v>
      </c>
      <c r="B16" s="21" t="s">
        <v>6</v>
      </c>
      <c r="C16" s="21" t="s">
        <v>7</v>
      </c>
      <c r="D16" s="22" t="s">
        <v>35</v>
      </c>
      <c r="E16" s="21" t="s">
        <v>36</v>
      </c>
      <c r="F16" s="22" t="s">
        <v>39</v>
      </c>
      <c r="G16" s="22" t="s">
        <v>38</v>
      </c>
      <c r="H16" s="21" t="s">
        <v>11</v>
      </c>
    </row>
    <row r="17" spans="1:8" ht="15" customHeight="1" x14ac:dyDescent="0.35">
      <c r="A17" s="4"/>
      <c r="B17" s="18" t="s">
        <v>16</v>
      </c>
      <c r="C17" s="84" t="s">
        <v>26</v>
      </c>
      <c r="D17" s="19" t="s">
        <v>12</v>
      </c>
      <c r="E17" s="19">
        <v>1</v>
      </c>
      <c r="F17" s="19">
        <v>500</v>
      </c>
      <c r="G17" s="19">
        <f t="shared" ref="G17:G19" si="1">E17*F17</f>
        <v>500</v>
      </c>
      <c r="H17" s="19" t="s">
        <v>13</v>
      </c>
    </row>
    <row r="18" spans="1:8" ht="15" customHeight="1" x14ac:dyDescent="0.35">
      <c r="A18" s="4"/>
      <c r="B18" s="15"/>
      <c r="C18" s="15"/>
      <c r="D18" s="16"/>
      <c r="E18" s="16"/>
      <c r="F18" s="16"/>
      <c r="G18" s="16">
        <f t="shared" si="1"/>
        <v>0</v>
      </c>
      <c r="H18" s="16" t="s">
        <v>13</v>
      </c>
    </row>
    <row r="19" spans="1:8" ht="15" customHeight="1" thickBot="1" x14ac:dyDescent="0.4">
      <c r="A19" s="4"/>
      <c r="B19" s="37"/>
      <c r="C19" s="37"/>
      <c r="D19" s="38"/>
      <c r="E19" s="38"/>
      <c r="F19" s="38"/>
      <c r="G19" s="38">
        <f t="shared" si="1"/>
        <v>0</v>
      </c>
      <c r="H19" s="38" t="s">
        <v>13</v>
      </c>
    </row>
    <row r="20" spans="1:8" ht="15" customHeight="1" thickTop="1" x14ac:dyDescent="0.35">
      <c r="A20" s="4"/>
      <c r="B20" s="24"/>
      <c r="C20" s="24"/>
      <c r="D20" s="69" t="s">
        <v>19</v>
      </c>
      <c r="E20" s="69"/>
      <c r="F20" s="69"/>
      <c r="G20" s="19">
        <f>SUM(G17:G19)</f>
        <v>500</v>
      </c>
      <c r="H20" s="19" t="s">
        <v>13</v>
      </c>
    </row>
    <row r="21" spans="1:8" ht="15" customHeight="1" thickBot="1" x14ac:dyDescent="0.4">
      <c r="A21" s="4"/>
      <c r="B21" s="24"/>
      <c r="C21" s="24"/>
      <c r="D21" s="70" t="s">
        <v>20</v>
      </c>
      <c r="E21" s="70"/>
      <c r="F21" s="70"/>
      <c r="G21" s="39">
        <v>0.25</v>
      </c>
      <c r="H21" s="39"/>
    </row>
    <row r="22" spans="1:8" ht="15" customHeight="1" thickTop="1" x14ac:dyDescent="0.35">
      <c r="A22" s="7"/>
      <c r="B22" s="24"/>
      <c r="C22" s="24"/>
      <c r="D22" s="69" t="s">
        <v>21</v>
      </c>
      <c r="E22" s="69"/>
      <c r="F22" s="69"/>
      <c r="G22" s="19">
        <f>G20*(1+G21)</f>
        <v>625</v>
      </c>
      <c r="H22" s="19" t="s">
        <v>13</v>
      </c>
    </row>
    <row r="23" spans="1:8" ht="15" customHeight="1" x14ac:dyDescent="0.35">
      <c r="A23" s="8"/>
      <c r="B23" s="9"/>
      <c r="C23" s="9"/>
      <c r="D23" s="5"/>
      <c r="E23" s="5"/>
      <c r="G23" s="23"/>
      <c r="H23" s="23"/>
    </row>
    <row r="24" spans="1:8" ht="15" customHeight="1" thickBot="1" x14ac:dyDescent="0.4">
      <c r="A24" s="45" t="s">
        <v>37</v>
      </c>
      <c r="B24" s="46" t="s">
        <v>47</v>
      </c>
      <c r="C24" s="46"/>
      <c r="D24" s="38" t="s">
        <v>48</v>
      </c>
      <c r="E24" s="38">
        <v>1</v>
      </c>
      <c r="F24" s="38">
        <v>3000</v>
      </c>
      <c r="G24" s="38">
        <f>E24*F24</f>
        <v>3000</v>
      </c>
      <c r="H24" s="38" t="s">
        <v>13</v>
      </c>
    </row>
    <row r="25" spans="1:8" ht="15" customHeight="1" thickTop="1" x14ac:dyDescent="0.35">
      <c r="A25" s="42"/>
      <c r="B25" s="77" t="s">
        <v>22</v>
      </c>
      <c r="C25" s="78"/>
      <c r="D25" s="78"/>
      <c r="E25" s="78"/>
      <c r="F25" s="78"/>
      <c r="G25" s="19">
        <f>G24-G22</f>
        <v>2375</v>
      </c>
      <c r="H25" s="19" t="s">
        <v>13</v>
      </c>
    </row>
    <row r="26" spans="1:8" ht="15" customHeight="1" x14ac:dyDescent="0.35">
      <c r="A26" s="42"/>
      <c r="B26" s="43"/>
      <c r="C26" s="13"/>
      <c r="D26" s="13"/>
      <c r="E26" s="13"/>
      <c r="F26" s="13"/>
      <c r="G26" s="41"/>
      <c r="H26" s="41"/>
    </row>
    <row r="27" spans="1:8" ht="47" thickBot="1" x14ac:dyDescent="0.4">
      <c r="A27" s="48" t="s">
        <v>23</v>
      </c>
      <c r="B27" s="21" t="s">
        <v>6</v>
      </c>
      <c r="C27" s="21" t="s">
        <v>7</v>
      </c>
      <c r="D27" s="22" t="s">
        <v>8</v>
      </c>
      <c r="E27" s="21" t="s">
        <v>36</v>
      </c>
      <c r="F27" s="22" t="s">
        <v>9</v>
      </c>
      <c r="G27" s="22" t="s">
        <v>10</v>
      </c>
      <c r="H27" s="21" t="s">
        <v>11</v>
      </c>
    </row>
    <row r="28" spans="1:8" ht="15" customHeight="1" x14ac:dyDescent="0.35">
      <c r="A28" s="4"/>
      <c r="B28" s="18" t="s">
        <v>42</v>
      </c>
      <c r="C28" s="28" t="s">
        <v>43</v>
      </c>
      <c r="D28" s="29" t="s">
        <v>44</v>
      </c>
      <c r="E28" s="19">
        <v>1</v>
      </c>
      <c r="F28" s="19">
        <v>200</v>
      </c>
      <c r="G28" s="19">
        <f t="shared" ref="G28:G30" si="2">E28*F28</f>
        <v>200</v>
      </c>
      <c r="H28" s="19" t="s">
        <v>13</v>
      </c>
    </row>
    <row r="29" spans="1:8" ht="15" customHeight="1" x14ac:dyDescent="0.35">
      <c r="A29" s="4"/>
      <c r="B29" s="15" t="s">
        <v>14</v>
      </c>
      <c r="C29" s="15" t="s">
        <v>50</v>
      </c>
      <c r="D29" s="17" t="s">
        <v>15</v>
      </c>
      <c r="E29" s="16">
        <v>1</v>
      </c>
      <c r="F29" s="16">
        <v>100</v>
      </c>
      <c r="G29" s="16">
        <f t="shared" si="2"/>
        <v>100</v>
      </c>
      <c r="H29" s="16" t="s">
        <v>13</v>
      </c>
    </row>
    <row r="30" spans="1:8" ht="15" customHeight="1" thickBot="1" x14ac:dyDescent="0.4">
      <c r="A30" s="4"/>
      <c r="B30" s="37" t="s">
        <v>49</v>
      </c>
      <c r="C30" s="15" t="s">
        <v>45</v>
      </c>
      <c r="D30" s="16" t="s">
        <v>12</v>
      </c>
      <c r="E30" s="38">
        <v>2</v>
      </c>
      <c r="F30" s="38">
        <v>10</v>
      </c>
      <c r="G30" s="38">
        <f t="shared" si="2"/>
        <v>20</v>
      </c>
      <c r="H30" s="38" t="s">
        <v>13</v>
      </c>
    </row>
    <row r="31" spans="1:8" ht="15" customHeight="1" thickTop="1" x14ac:dyDescent="0.35">
      <c r="A31" s="4"/>
      <c r="B31" s="24"/>
      <c r="C31" s="24"/>
      <c r="D31" s="69" t="s">
        <v>19</v>
      </c>
      <c r="E31" s="69"/>
      <c r="F31" s="69"/>
      <c r="G31" s="19">
        <f>SUM(G28:G30)</f>
        <v>320</v>
      </c>
      <c r="H31" s="19" t="s">
        <v>13</v>
      </c>
    </row>
    <row r="32" spans="1:8" ht="15" customHeight="1" thickBot="1" x14ac:dyDescent="0.4">
      <c r="A32" s="4"/>
      <c r="D32" s="70" t="s">
        <v>20</v>
      </c>
      <c r="E32" s="70"/>
      <c r="F32" s="70"/>
      <c r="G32" s="39">
        <v>0.25</v>
      </c>
      <c r="H32" s="39"/>
    </row>
    <row r="33" spans="1:8" ht="15" customHeight="1" thickTop="1" x14ac:dyDescent="0.35">
      <c r="A33" s="7"/>
      <c r="D33" s="69" t="s">
        <v>24</v>
      </c>
      <c r="E33" s="69"/>
      <c r="F33" s="69"/>
      <c r="G33" s="19">
        <f>G31*(1+G32)</f>
        <v>400</v>
      </c>
      <c r="H33" s="19" t="s">
        <v>13</v>
      </c>
    </row>
    <row r="34" spans="1:8" ht="15" customHeight="1" x14ac:dyDescent="0.35">
      <c r="A34" s="8"/>
      <c r="B34" s="40"/>
      <c r="C34" s="40"/>
      <c r="D34" s="41"/>
      <c r="E34" s="41"/>
      <c r="F34" s="41"/>
      <c r="G34" s="11"/>
      <c r="H34" s="11"/>
    </row>
    <row r="35" spans="1:8" ht="15" customHeight="1" thickBot="1" x14ac:dyDescent="0.4">
      <c r="A35" s="47" t="s">
        <v>37</v>
      </c>
      <c r="B35" s="46" t="s">
        <v>25</v>
      </c>
      <c r="C35" s="46" t="s">
        <v>26</v>
      </c>
      <c r="D35" s="38" t="s">
        <v>51</v>
      </c>
      <c r="E35" s="38">
        <v>1</v>
      </c>
      <c r="F35" s="38">
        <v>1000</v>
      </c>
      <c r="G35" s="38">
        <f>E35*F35</f>
        <v>1000</v>
      </c>
      <c r="H35" s="38" t="s">
        <v>13</v>
      </c>
    </row>
    <row r="36" spans="1:8" ht="15" customHeight="1" thickTop="1" x14ac:dyDescent="0.35">
      <c r="A36" s="42"/>
      <c r="B36" s="77" t="s">
        <v>27</v>
      </c>
      <c r="C36" s="77"/>
      <c r="D36" s="77"/>
      <c r="E36" s="77"/>
      <c r="F36" s="77"/>
      <c r="G36" s="19">
        <f>G35-G33</f>
        <v>600</v>
      </c>
      <c r="H36" s="19" t="s">
        <v>13</v>
      </c>
    </row>
    <row r="37" spans="1:8" ht="15" customHeight="1" thickBot="1" x14ac:dyDescent="0.4">
      <c r="A37" s="60"/>
      <c r="B37" s="61"/>
      <c r="C37" s="62"/>
      <c r="D37" s="62"/>
      <c r="E37" s="62"/>
      <c r="F37" s="62"/>
      <c r="G37" s="63"/>
      <c r="H37" s="63"/>
    </row>
    <row r="38" spans="1:8" ht="47" thickBot="1" x14ac:dyDescent="0.4">
      <c r="A38" s="51" t="s">
        <v>28</v>
      </c>
      <c r="B38" s="52" t="s">
        <v>6</v>
      </c>
      <c r="C38" s="52" t="s">
        <v>7</v>
      </c>
      <c r="D38" s="53" t="s">
        <v>8</v>
      </c>
      <c r="E38" s="53" t="s">
        <v>29</v>
      </c>
      <c r="F38" s="53" t="s">
        <v>9</v>
      </c>
      <c r="G38" s="53" t="s">
        <v>10</v>
      </c>
      <c r="H38" s="54" t="s">
        <v>11</v>
      </c>
    </row>
    <row r="39" spans="1:8" ht="15" customHeight="1" x14ac:dyDescent="0.35">
      <c r="A39" s="55" t="s">
        <v>30</v>
      </c>
      <c r="B39" s="49" t="s">
        <v>31</v>
      </c>
      <c r="C39" s="19" t="s">
        <v>52</v>
      </c>
      <c r="D39" s="19" t="s">
        <v>32</v>
      </c>
      <c r="E39" s="19" t="s">
        <v>53</v>
      </c>
      <c r="F39" s="19">
        <v>3000</v>
      </c>
      <c r="G39" s="19">
        <v>3000</v>
      </c>
      <c r="H39" s="56" t="s">
        <v>13</v>
      </c>
    </row>
    <row r="40" spans="1:8" ht="15" customHeight="1" x14ac:dyDescent="0.35">
      <c r="A40" s="57"/>
      <c r="B40" s="44"/>
      <c r="C40" s="44"/>
      <c r="D40" s="16"/>
      <c r="E40" s="16"/>
      <c r="F40" s="16"/>
      <c r="G40" s="16"/>
      <c r="H40" s="35"/>
    </row>
    <row r="41" spans="1:8" ht="15" customHeight="1" x14ac:dyDescent="0.35">
      <c r="A41" s="71" t="s">
        <v>33</v>
      </c>
      <c r="B41" s="44"/>
      <c r="C41" s="44"/>
      <c r="D41" s="16"/>
      <c r="E41" s="16"/>
      <c r="F41" s="16"/>
      <c r="G41" s="16">
        <f t="shared" ref="G41:G43" si="3">E41*F41</f>
        <v>0</v>
      </c>
      <c r="H41" s="35" t="s">
        <v>13</v>
      </c>
    </row>
    <row r="42" spans="1:8" ht="15" customHeight="1" x14ac:dyDescent="0.35">
      <c r="A42" s="72"/>
      <c r="B42" s="44" t="s">
        <v>25</v>
      </c>
      <c r="C42" s="44" t="s">
        <v>26</v>
      </c>
      <c r="D42" s="16" t="s">
        <v>51</v>
      </c>
      <c r="E42" s="16">
        <v>1</v>
      </c>
      <c r="F42" s="16">
        <v>1000</v>
      </c>
      <c r="G42" s="16">
        <f t="shared" si="3"/>
        <v>1000</v>
      </c>
      <c r="H42" s="35" t="s">
        <v>13</v>
      </c>
    </row>
    <row r="43" spans="1:8" ht="15" customHeight="1" thickBot="1" x14ac:dyDescent="0.4">
      <c r="A43" s="73"/>
      <c r="B43" s="65"/>
      <c r="C43" s="66"/>
      <c r="D43" s="67"/>
      <c r="E43" s="67"/>
      <c r="F43" s="67"/>
      <c r="G43" s="67">
        <f t="shared" si="3"/>
        <v>0</v>
      </c>
      <c r="H43" s="68" t="s">
        <v>13</v>
      </c>
    </row>
    <row r="44" spans="1:8" ht="15" customHeight="1" thickTop="1" thickBot="1" x14ac:dyDescent="0.4">
      <c r="A44" s="74" t="s">
        <v>34</v>
      </c>
      <c r="B44" s="75"/>
      <c r="C44" s="75"/>
      <c r="D44" s="75"/>
      <c r="E44" s="75"/>
      <c r="F44" s="76"/>
      <c r="G44" s="58">
        <f>G39-SUM(G41:G43)</f>
        <v>2000</v>
      </c>
      <c r="H44" s="59" t="s">
        <v>13</v>
      </c>
    </row>
    <row r="45" spans="1:8" ht="15.5" x14ac:dyDescent="0.35">
      <c r="F45" s="1"/>
      <c r="G45" s="1"/>
      <c r="H45" s="1"/>
    </row>
    <row r="46" spans="1:8" ht="15" customHeight="1" x14ac:dyDescent="0.35">
      <c r="F46" s="1"/>
      <c r="G46" s="1"/>
      <c r="H46" s="1"/>
    </row>
    <row r="47" spans="1:8" s="24" customFormat="1" ht="15" customHeight="1" x14ac:dyDescent="0.35"/>
    <row r="48" spans="1:8" ht="15.5" x14ac:dyDescent="0.35"/>
    <row r="49" spans="1:9" ht="15" customHeight="1" x14ac:dyDescent="0.35"/>
    <row r="50" spans="1:9" ht="15" customHeight="1" x14ac:dyDescent="0.35"/>
    <row r="51" spans="1:9" ht="15" customHeight="1" x14ac:dyDescent="0.35"/>
    <row r="52" spans="1:9" ht="15" customHeight="1" x14ac:dyDescent="0.35"/>
    <row r="53" spans="1:9" ht="15.5" x14ac:dyDescent="0.35"/>
    <row r="54" spans="1:9" ht="15" customHeight="1" thickBot="1" x14ac:dyDescent="0.4"/>
    <row r="55" spans="1:9" ht="15" customHeight="1" x14ac:dyDescent="0.35">
      <c r="A55" s="10"/>
      <c r="B55" s="25"/>
      <c r="C55" s="25"/>
      <c r="D55" s="25"/>
      <c r="E55" s="25"/>
      <c r="F55" s="25"/>
      <c r="G55" s="64"/>
      <c r="H55" s="64"/>
      <c r="I55" s="24"/>
    </row>
    <row r="56" spans="1:9" ht="15.5" x14ac:dyDescent="0.35">
      <c r="F56" s="1"/>
      <c r="G56" s="1"/>
      <c r="H56" s="1"/>
    </row>
    <row r="57" spans="1:9" ht="15" customHeight="1" x14ac:dyDescent="0.35">
      <c r="A57" s="24"/>
      <c r="F57" s="1"/>
      <c r="G57" s="1"/>
      <c r="H57" s="1"/>
    </row>
    <row r="58" spans="1:9" ht="15" customHeight="1" x14ac:dyDescent="0.35">
      <c r="F58" s="1"/>
      <c r="G58" s="1"/>
      <c r="H58" s="1"/>
    </row>
    <row r="59" spans="1:9" ht="15" customHeight="1" x14ac:dyDescent="0.35">
      <c r="F59" s="1"/>
      <c r="G59" s="1"/>
      <c r="H59" s="1"/>
    </row>
    <row r="60" spans="1:9" ht="15" customHeight="1" x14ac:dyDescent="0.35">
      <c r="F60" s="1"/>
      <c r="G60" s="1"/>
      <c r="H60" s="1"/>
    </row>
    <row r="61" spans="1:9" ht="15" customHeight="1" x14ac:dyDescent="0.35">
      <c r="F61" s="1"/>
      <c r="G61" s="1"/>
      <c r="H61" s="1"/>
    </row>
    <row r="62" spans="1:9" ht="15" customHeight="1" x14ac:dyDescent="0.35">
      <c r="F62" s="1"/>
      <c r="G62" s="1"/>
      <c r="H62" s="1"/>
    </row>
    <row r="63" spans="1:9" ht="15" customHeight="1" x14ac:dyDescent="0.35">
      <c r="F63" s="1"/>
      <c r="G63" s="1"/>
      <c r="H63" s="1"/>
    </row>
    <row r="64" spans="1:9" ht="15" customHeight="1" x14ac:dyDescent="0.35">
      <c r="F64" s="1"/>
      <c r="G64" s="1"/>
      <c r="H64" s="1"/>
    </row>
    <row r="65" spans="6:8" ht="15.5" x14ac:dyDescent="0.35">
      <c r="F65" s="1"/>
      <c r="G65" s="1"/>
      <c r="H65" s="1"/>
    </row>
    <row r="66" spans="6:8" ht="15" customHeight="1" x14ac:dyDescent="0.35">
      <c r="F66" s="1"/>
      <c r="G66" s="1"/>
      <c r="H66" s="1"/>
    </row>
    <row r="67" spans="6:8" ht="15" customHeight="1" x14ac:dyDescent="0.35">
      <c r="F67" s="1"/>
      <c r="G67" s="1"/>
      <c r="H67" s="1"/>
    </row>
    <row r="68" spans="6:8" ht="15" customHeight="1" x14ac:dyDescent="0.35">
      <c r="F68" s="1"/>
      <c r="G68" s="1"/>
      <c r="H68" s="1"/>
    </row>
    <row r="69" spans="6:8" ht="15" customHeight="1" x14ac:dyDescent="0.35">
      <c r="F69" s="1"/>
      <c r="G69" s="1"/>
      <c r="H69" s="1"/>
    </row>
    <row r="70" spans="6:8" ht="15" customHeight="1" x14ac:dyDescent="0.35">
      <c r="F70" s="1"/>
      <c r="G70" s="1"/>
      <c r="H70" s="1"/>
    </row>
    <row r="71" spans="6:8" ht="15" customHeight="1" x14ac:dyDescent="0.35">
      <c r="F71" s="1"/>
      <c r="G71" s="1"/>
      <c r="H71" s="1"/>
    </row>
    <row r="72" spans="6:8" ht="15.75" customHeight="1" x14ac:dyDescent="0.35">
      <c r="F72" s="1"/>
      <c r="G72" s="1"/>
      <c r="H72" s="1"/>
    </row>
  </sheetData>
  <mergeCells count="12">
    <mergeCell ref="A1:H1"/>
    <mergeCell ref="A7:H7"/>
    <mergeCell ref="A41:A43"/>
    <mergeCell ref="A44:F44"/>
    <mergeCell ref="D20:F20"/>
    <mergeCell ref="D21:F21"/>
    <mergeCell ref="D22:F22"/>
    <mergeCell ref="D31:F31"/>
    <mergeCell ref="D32:F32"/>
    <mergeCell ref="B36:F36"/>
    <mergeCell ref="B25:F25"/>
    <mergeCell ref="D33:F33"/>
  </mergeCells>
  <conditionalFormatting sqref="G25:G26 G36:G37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1" manualBreakCount="1">
    <brk id="25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Payne</dc:creator>
  <cp:lastModifiedBy>Keith Payne (Student)</cp:lastModifiedBy>
  <cp:lastPrinted>2025-08-22T22:55:28Z</cp:lastPrinted>
  <dcterms:created xsi:type="dcterms:W3CDTF">2025-10-31T21:43:16Z</dcterms:created>
  <dcterms:modified xsi:type="dcterms:W3CDTF">2025-10-31T21:43:16Z</dcterms:modified>
</cp:coreProperties>
</file>